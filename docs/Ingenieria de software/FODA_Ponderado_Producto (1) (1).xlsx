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DA Producto" sheetId="1" r:id="rId4"/>
  </sheets>
  <definedNames/>
  <calcPr/>
  <extLst>
    <ext uri="GoogleSheetsCustomDataVersion2">
      <go:sheetsCustomData xmlns:go="http://customooxmlschemas.google.com/" r:id="rId5" roundtripDataChecksum="6NBAaDlWwnWWyy1GRqSx0wUyuM9GDZjSbQyUZoFZcpc="/>
    </ext>
  </extLst>
</workbook>
</file>

<file path=xl/sharedStrings.xml><?xml version="1.0" encoding="utf-8"?>
<sst xmlns="http://schemas.openxmlformats.org/spreadsheetml/2006/main" count="75" uniqueCount="59">
  <si>
    <t>FODA PONDERADO DEL PRODUCTO - SGRSI</t>
  </si>
  <si>
    <t>FACTORES INTERNOS</t>
  </si>
  <si>
    <t>Fortalezas</t>
  </si>
  <si>
    <t>Factor</t>
  </si>
  <si>
    <t>Peso</t>
  </si>
  <si>
    <t>Calificación</t>
  </si>
  <si>
    <t>Puntaje</t>
  </si>
  <si>
    <t>F1</t>
  </si>
  <si>
    <t xml:space="preserve">Digitalización de la hoja de laboratorios y del registro de equipos.
</t>
  </si>
  <si>
    <t>F2</t>
  </si>
  <si>
    <t xml:space="preserve">Permite consultar las reparaciones realizadas anteriormente en cada equipo.
</t>
  </si>
  <si>
    <t>F3</t>
  </si>
  <si>
    <t xml:space="preserve"> Sistema de tickets para solicitud de laboratorios, incidencias o instalación de software</t>
  </si>
  <si>
    <t>F4</t>
  </si>
  <si>
    <t>Facilita un control organizado de las incidencias reportadas.</t>
  </si>
  <si>
    <t>F5</t>
  </si>
  <si>
    <t>Dashboard de métricas para la toma de decisiones (incidencias, tiempos de resolución, uso de laboratorios).</t>
  </si>
  <si>
    <t>F6</t>
  </si>
  <si>
    <t>Interfaz intuitiva y adaptable a distintos dispositivos, fácil de usar para usuarios no técnicos.</t>
  </si>
  <si>
    <t>F7</t>
  </si>
  <si>
    <t>Reduce la pérdida de información asociada a registros en papel.</t>
  </si>
  <si>
    <t>Total fortalezas</t>
  </si>
  <si>
    <t>Debilidades</t>
  </si>
  <si>
    <t>D1</t>
  </si>
  <si>
    <t>Depende de que los usuarios registren correctamente las incidencias.</t>
  </si>
  <si>
    <t>D2</t>
  </si>
  <si>
    <t>Depende de la disponibilidad de la red institucional.</t>
  </si>
  <si>
    <t>D3</t>
  </si>
  <si>
    <t>Requiere capacitación inicial para algunos usuarios.</t>
  </si>
  <si>
    <t>D4</t>
  </si>
  <si>
    <t>Necesita mantenimiento y actualización constante.</t>
  </si>
  <si>
    <t>D5</t>
  </si>
  <si>
    <t xml:space="preserve">Posibles errores de carga de datos.
</t>
  </si>
  <si>
    <t xml:space="preserve"> </t>
  </si>
  <si>
    <t>Total debilidades</t>
  </si>
  <si>
    <t>FACTORES EXTERNOS</t>
  </si>
  <si>
    <t>Oportunidades</t>
  </si>
  <si>
    <t>O1</t>
  </si>
  <si>
    <t>Necesidad de mantener un historial organizado de los equipos.</t>
  </si>
  <si>
    <t>O2</t>
  </si>
  <si>
    <t xml:space="preserve">Necesidad de digitalizar incidencias y reparaciones. </t>
  </si>
  <si>
    <t>O3</t>
  </si>
  <si>
    <t xml:space="preserve">Mayor importancia en la gestión y control de equipos/laboratorios. </t>
  </si>
  <si>
    <t>O4</t>
  </si>
  <si>
    <t>Posibilidad de recibir sugerencias de docentes y técnicos para mejorar el sistema.</t>
  </si>
  <si>
    <t>Total oportunidades</t>
  </si>
  <si>
    <t>Amenazas</t>
  </si>
  <si>
    <t>A1</t>
  </si>
  <si>
    <t>Accesos no autorizados o ataques informáticos que comprometan los datos.</t>
  </si>
  <si>
    <t>A2</t>
  </si>
  <si>
    <t>Pérdida de información por fallas del servidor o de los respaldos.</t>
  </si>
  <si>
    <t>A3</t>
  </si>
  <si>
    <t>Eliminación accidental de información por parte de los usuarios.</t>
  </si>
  <si>
    <t>A4</t>
  </si>
  <si>
    <t>Obsolescencia de las tecnologías utilizadas.</t>
  </si>
  <si>
    <t>A5</t>
  </si>
  <si>
    <t>Resistencia al cambio de usuarios acostumbrados al registro en papel.</t>
  </si>
  <si>
    <t>Total amenazas</t>
  </si>
  <si>
    <t>RESULTADO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</si>
</sst>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Arial"/>
    </font>
    <font>
      <i/>
      <sz val="9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theme="6"/>
        <bgColor theme="6"/>
      </patternFill>
    </fill>
  </fills>
  <borders count="3">
    <border/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top" wrapText="1"/>
    </xf>
    <xf borderId="2" fillId="3" fontId="5" numFmtId="9" xfId="0" applyAlignment="1" applyBorder="1" applyFill="1" applyFont="1" applyNumberFormat="1">
      <alignment shrinkToFit="0" vertical="bottom" wrapText="0"/>
    </xf>
    <xf borderId="2" fillId="3" fontId="5" numFmtId="0" xfId="0" applyAlignment="1" applyBorder="1" applyFill="1" applyFont="1">
      <alignment shrinkToFit="0" vertical="bottom" wrapText="0"/>
    </xf>
    <xf borderId="2" fillId="3" fontId="3" numFmtId="2" xfId="0" applyAlignment="1" applyBorder="1" applyFill="1" applyFont="1" applyNumberFormat="1">
      <alignment shrinkToFit="0" vertical="bottom" wrapText="0"/>
    </xf>
    <xf borderId="0" fillId="0" fontId="6" numFmtId="0" xfId="0" applyAlignment="1" applyFont="1">
      <alignment horizontal="left" shrinkToFit="0" wrapText="1"/>
    </xf>
    <xf borderId="2" fillId="3" fontId="4" numFmtId="9" xfId="0" applyAlignment="1" applyBorder="1" applyFill="1" applyFont="1" applyNumberFormat="1">
      <alignment shrinkToFit="0" vertical="bottom" wrapText="0"/>
    </xf>
    <xf borderId="2" fillId="0" fontId="6" numFmtId="0" xfId="0" applyBorder="1" applyFont="1"/>
    <xf borderId="2" fillId="0" fontId="3" numFmtId="0" xfId="0" applyAlignment="1" applyBorder="1" applyFont="1">
      <alignment shrinkToFit="0" vertical="bottom" wrapText="0"/>
    </xf>
    <xf borderId="2" fillId="3" fontId="3" numFmtId="9" xfId="0" applyAlignment="1" applyBorder="1" applyFill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9" xfId="0" applyAlignment="1" applyFont="1" applyNumberFormat="1">
      <alignment shrinkToFit="0" vertical="bottom" wrapText="0"/>
    </xf>
    <xf borderId="2" fillId="4" fontId="3" numFmtId="0" xfId="0" applyAlignment="1" applyBorder="1" applyFill="1" applyFont="1">
      <alignment shrinkToFit="0" vertical="bottom" wrapText="0"/>
    </xf>
    <xf borderId="2" fillId="0" fontId="4" numFmtId="2" xfId="0" applyAlignment="1" applyBorder="1" applyFont="1" applyNumberFormat="1">
      <alignment shrinkToFit="0" vertical="bottom" wrapText="0"/>
    </xf>
    <xf borderId="0" fillId="0" fontId="4" numFmtId="2" xfId="0" applyAlignment="1" applyFont="1" applyNumberFormat="1">
      <alignment shrinkToFit="0" vertical="bottom" wrapText="0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78.0"/>
    <col customWidth="1" min="3" max="5" width="13.0"/>
    <col customWidth="1" min="6" max="6" width="8.71"/>
    <col customWidth="1" min="7" max="7" width="73.14"/>
    <col customWidth="1" min="8" max="26" width="8.71"/>
  </cols>
  <sheetData>
    <row r="1">
      <c r="A1" s="1" t="s">
        <v>0</v>
      </c>
    </row>
    <row r="2">
      <c r="A2" s="2"/>
    </row>
    <row r="4">
      <c r="A4" s="3" t="s">
        <v>1</v>
      </c>
      <c r="G4" s="3"/>
    </row>
    <row r="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>
      <c r="A6" s="5" t="s">
        <v>7</v>
      </c>
      <c r="B6" s="6" t="s">
        <v>8</v>
      </c>
      <c r="C6" s="7">
        <v>0.1</v>
      </c>
      <c r="D6" s="8">
        <v>5.0</v>
      </c>
      <c r="E6" s="9">
        <f t="shared" ref="E6:E12" si="1">C6*D6</f>
        <v>0.5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5" t="s">
        <v>9</v>
      </c>
      <c r="B7" s="6" t="s">
        <v>10</v>
      </c>
      <c r="C7" s="7">
        <v>0.1</v>
      </c>
      <c r="D7" s="8">
        <v>5.0</v>
      </c>
      <c r="E7" s="9">
        <f t="shared" si="1"/>
        <v>0.5</v>
      </c>
    </row>
    <row r="8">
      <c r="A8" s="5" t="s">
        <v>11</v>
      </c>
      <c r="B8" s="6" t="s">
        <v>12</v>
      </c>
      <c r="C8" s="7">
        <v>0.12</v>
      </c>
      <c r="D8" s="8">
        <v>5.0</v>
      </c>
      <c r="E8" s="9">
        <f t="shared" si="1"/>
        <v>0.6</v>
      </c>
    </row>
    <row r="9">
      <c r="A9" s="5" t="s">
        <v>13</v>
      </c>
      <c r="B9" s="6" t="s">
        <v>14</v>
      </c>
      <c r="C9" s="7">
        <v>0.08</v>
      </c>
      <c r="D9" s="8">
        <v>4.0</v>
      </c>
      <c r="E9" s="9">
        <f t="shared" si="1"/>
        <v>0.32</v>
      </c>
    </row>
    <row r="10">
      <c r="A10" s="5" t="s">
        <v>15</v>
      </c>
      <c r="B10" s="6" t="s">
        <v>16</v>
      </c>
      <c r="C10" s="7">
        <v>0.08</v>
      </c>
      <c r="D10" s="8">
        <v>4.0</v>
      </c>
      <c r="E10" s="9">
        <f t="shared" si="1"/>
        <v>0.32</v>
      </c>
    </row>
    <row r="11">
      <c r="A11" s="5" t="s">
        <v>17</v>
      </c>
      <c r="B11" s="6" t="s">
        <v>18</v>
      </c>
      <c r="C11" s="11">
        <v>0.06</v>
      </c>
      <c r="D11" s="8">
        <v>4.0</v>
      </c>
      <c r="E11" s="9">
        <f t="shared" si="1"/>
        <v>0.24</v>
      </c>
    </row>
    <row r="12">
      <c r="A12" s="5" t="s">
        <v>19</v>
      </c>
      <c r="B12" s="6" t="s">
        <v>20</v>
      </c>
      <c r="C12" s="11">
        <v>0.04</v>
      </c>
      <c r="D12" s="8">
        <v>3.0</v>
      </c>
      <c r="E12" s="9">
        <f t="shared" si="1"/>
        <v>0.12</v>
      </c>
    </row>
    <row r="13">
      <c r="A13" s="12"/>
      <c r="B13" s="13" t="s">
        <v>21</v>
      </c>
      <c r="C13" s="14">
        <f>SUM(C6:C12)</f>
        <v>0.58</v>
      </c>
      <c r="D13" s="8"/>
      <c r="E13" s="9">
        <f>SUM(E6:E12)</f>
        <v>2.6</v>
      </c>
    </row>
    <row r="15">
      <c r="A15" s="4" t="s">
        <v>22</v>
      </c>
      <c r="B15" s="4" t="s">
        <v>3</v>
      </c>
      <c r="C15" s="4" t="s">
        <v>4</v>
      </c>
      <c r="D15" s="4" t="s">
        <v>5</v>
      </c>
      <c r="E15" s="4" t="s">
        <v>6</v>
      </c>
    </row>
    <row r="16">
      <c r="A16" s="5" t="s">
        <v>23</v>
      </c>
      <c r="B16" s="6" t="s">
        <v>24</v>
      </c>
      <c r="C16" s="7">
        <v>0.1</v>
      </c>
      <c r="D16" s="8">
        <v>4.0</v>
      </c>
      <c r="E16" s="9">
        <f t="shared" ref="E16:E20" si="2">C16*D16</f>
        <v>0.4</v>
      </c>
    </row>
    <row r="17">
      <c r="A17" s="5" t="s">
        <v>25</v>
      </c>
      <c r="B17" s="6" t="s">
        <v>26</v>
      </c>
      <c r="C17" s="7">
        <v>0.1</v>
      </c>
      <c r="D17" s="8">
        <v>3.0</v>
      </c>
      <c r="E17" s="9">
        <f t="shared" si="2"/>
        <v>0.3</v>
      </c>
    </row>
    <row r="18">
      <c r="A18" s="5" t="s">
        <v>27</v>
      </c>
      <c r="B18" s="6" t="s">
        <v>28</v>
      </c>
      <c r="C18" s="7">
        <v>0.06</v>
      </c>
      <c r="D18" s="8">
        <v>2.0</v>
      </c>
      <c r="E18" s="9">
        <f t="shared" si="2"/>
        <v>0.12</v>
      </c>
    </row>
    <row r="19">
      <c r="A19" s="5" t="s">
        <v>29</v>
      </c>
      <c r="B19" s="6" t="s">
        <v>30</v>
      </c>
      <c r="C19" s="7">
        <v>0.06</v>
      </c>
      <c r="D19" s="8">
        <v>3.0</v>
      </c>
      <c r="E19" s="9">
        <f t="shared" si="2"/>
        <v>0.18</v>
      </c>
    </row>
    <row r="20" ht="15.75" customHeight="1">
      <c r="A20" s="12" t="s">
        <v>31</v>
      </c>
      <c r="B20" s="5" t="s">
        <v>32</v>
      </c>
      <c r="C20" s="7">
        <v>0.1</v>
      </c>
      <c r="D20" s="8">
        <v>4.0</v>
      </c>
      <c r="E20" s="9">
        <f t="shared" si="2"/>
        <v>0.4</v>
      </c>
    </row>
    <row r="21" ht="15.75" customHeight="1">
      <c r="A21" s="12" t="s">
        <v>33</v>
      </c>
      <c r="B21" s="13" t="s">
        <v>34</v>
      </c>
      <c r="C21" s="14">
        <f>SUM(C16:C20)</f>
        <v>0.42</v>
      </c>
      <c r="D21" s="8"/>
      <c r="E21" s="9">
        <f>SUM(E17:E20)</f>
        <v>1</v>
      </c>
    </row>
    <row r="22" ht="15.75" customHeight="1">
      <c r="B22" s="15"/>
      <c r="C22" s="16"/>
    </row>
    <row r="23" ht="15.75" customHeight="1"/>
    <row r="24" ht="15.75" customHeight="1">
      <c r="A24" s="3" t="s">
        <v>35</v>
      </c>
    </row>
    <row r="25" ht="15.75" customHeight="1">
      <c r="A25" s="4" t="s">
        <v>36</v>
      </c>
      <c r="B25" s="4" t="s">
        <v>3</v>
      </c>
      <c r="C25" s="4" t="s">
        <v>4</v>
      </c>
      <c r="D25" s="4" t="s">
        <v>5</v>
      </c>
      <c r="E25" s="4" t="s">
        <v>6</v>
      </c>
    </row>
    <row r="26" ht="15.75" customHeight="1">
      <c r="A26" s="5" t="s">
        <v>37</v>
      </c>
      <c r="B26" s="6" t="s">
        <v>38</v>
      </c>
      <c r="C26" s="7">
        <v>0.15</v>
      </c>
      <c r="D26" s="8">
        <v>5.0</v>
      </c>
      <c r="E26" s="9">
        <f t="shared" ref="E26:E29" si="3">C26*D26</f>
        <v>0.75</v>
      </c>
    </row>
    <row r="27" ht="15.75" customHeight="1">
      <c r="A27" s="5" t="s">
        <v>39</v>
      </c>
      <c r="B27" s="6" t="s">
        <v>40</v>
      </c>
      <c r="C27" s="7">
        <v>0.15</v>
      </c>
      <c r="D27" s="8">
        <v>4.0</v>
      </c>
      <c r="E27" s="9">
        <f t="shared" si="3"/>
        <v>0.6</v>
      </c>
    </row>
    <row r="28" ht="15.75" customHeight="1">
      <c r="A28" s="5" t="s">
        <v>41</v>
      </c>
      <c r="B28" s="6" t="s">
        <v>42</v>
      </c>
      <c r="C28" s="7">
        <v>0.1</v>
      </c>
      <c r="D28" s="8">
        <v>3.0</v>
      </c>
      <c r="E28" s="9">
        <f t="shared" si="3"/>
        <v>0.3</v>
      </c>
    </row>
    <row r="29" ht="15.75" customHeight="1">
      <c r="A29" s="5" t="s">
        <v>43</v>
      </c>
      <c r="B29" s="6" t="s">
        <v>44</v>
      </c>
      <c r="C29" s="7">
        <v>0.08</v>
      </c>
      <c r="D29" s="8">
        <v>2.0</v>
      </c>
      <c r="E29" s="9">
        <f t="shared" si="3"/>
        <v>0.16</v>
      </c>
    </row>
    <row r="30" ht="15.75" customHeight="1">
      <c r="A30" s="12"/>
      <c r="B30" s="13" t="s">
        <v>45</v>
      </c>
      <c r="C30" s="7">
        <f>SUM(C26:C29)</f>
        <v>0.48</v>
      </c>
      <c r="D30" s="8"/>
      <c r="E30" s="9">
        <f>SUM(E26:E29)</f>
        <v>1.81</v>
      </c>
    </row>
    <row r="31" ht="15.75" customHeight="1"/>
    <row r="32" ht="15.75" customHeight="1">
      <c r="A32" s="4" t="s">
        <v>46</v>
      </c>
      <c r="B32" s="4" t="s">
        <v>3</v>
      </c>
      <c r="C32" s="4" t="s">
        <v>4</v>
      </c>
      <c r="D32" s="4" t="s">
        <v>5</v>
      </c>
      <c r="E32" s="4" t="s">
        <v>6</v>
      </c>
    </row>
    <row r="33" ht="15.75" customHeight="1">
      <c r="A33" s="5" t="s">
        <v>47</v>
      </c>
      <c r="B33" s="6" t="s">
        <v>48</v>
      </c>
      <c r="C33" s="7">
        <v>0.14</v>
      </c>
      <c r="D33" s="8">
        <v>4.0</v>
      </c>
      <c r="E33" s="9">
        <f t="shared" ref="E33:E37" si="4">C33*D33</f>
        <v>0.56</v>
      </c>
    </row>
    <row r="34" ht="15.75" customHeight="1">
      <c r="A34" s="5" t="s">
        <v>49</v>
      </c>
      <c r="B34" s="6" t="s">
        <v>50</v>
      </c>
      <c r="C34" s="7">
        <v>0.14</v>
      </c>
      <c r="D34" s="8">
        <v>4.0</v>
      </c>
      <c r="E34" s="9">
        <f t="shared" si="4"/>
        <v>0.56</v>
      </c>
    </row>
    <row r="35" ht="15.75" customHeight="1">
      <c r="A35" s="5" t="s">
        <v>51</v>
      </c>
      <c r="B35" s="6" t="s">
        <v>52</v>
      </c>
      <c r="C35" s="7">
        <v>0.08</v>
      </c>
      <c r="D35" s="8">
        <v>2.0</v>
      </c>
      <c r="E35" s="9">
        <f t="shared" si="4"/>
        <v>0.16</v>
      </c>
    </row>
    <row r="36" ht="15.75" customHeight="1">
      <c r="A36" s="5" t="s">
        <v>53</v>
      </c>
      <c r="B36" s="6" t="s">
        <v>54</v>
      </c>
      <c r="C36" s="7">
        <v>0.08</v>
      </c>
      <c r="D36" s="8">
        <v>2.0</v>
      </c>
      <c r="E36" s="9">
        <f t="shared" si="4"/>
        <v>0.16</v>
      </c>
    </row>
    <row r="37" ht="15.75" customHeight="1">
      <c r="A37" s="5" t="s">
        <v>55</v>
      </c>
      <c r="B37" s="6" t="s">
        <v>56</v>
      </c>
      <c r="C37" s="7">
        <v>0.08</v>
      </c>
      <c r="D37" s="8">
        <v>3.0</v>
      </c>
      <c r="E37" s="9">
        <f t="shared" si="4"/>
        <v>0.24</v>
      </c>
    </row>
    <row r="38" ht="15.75" customHeight="1">
      <c r="A38" s="12"/>
      <c r="B38" s="13" t="s">
        <v>57</v>
      </c>
      <c r="C38" s="7">
        <f>SUM(C33:C37)</f>
        <v>0.52</v>
      </c>
      <c r="D38" s="8"/>
      <c r="E38" s="9">
        <f>SUM(E33:E37)</f>
        <v>1.68</v>
      </c>
    </row>
    <row r="39" ht="15.75" customHeight="1"/>
    <row r="40" ht="15.75" customHeight="1">
      <c r="B40" s="15"/>
      <c r="C40" s="16"/>
    </row>
    <row r="41" ht="15.75" customHeight="1"/>
    <row r="42" ht="15.75" customHeight="1">
      <c r="A42" s="17" t="s">
        <v>58</v>
      </c>
      <c r="B42" s="12"/>
      <c r="C42" s="12"/>
    </row>
    <row r="43" ht="15.75" customHeight="1">
      <c r="A43" s="12"/>
      <c r="B43" s="5" t="s">
        <v>2</v>
      </c>
      <c r="C43" s="18">
        <f>C13</f>
        <v>0.58</v>
      </c>
      <c r="E43" s="19"/>
    </row>
    <row r="44" ht="15.75" customHeight="1">
      <c r="A44" s="12"/>
      <c r="B44" s="5" t="s">
        <v>22</v>
      </c>
      <c r="C44" s="18">
        <f>C21</f>
        <v>0.42</v>
      </c>
      <c r="E44" s="19"/>
    </row>
    <row r="45" ht="15.75" customHeight="1">
      <c r="A45" s="12"/>
      <c r="B45" s="5" t="s">
        <v>36</v>
      </c>
      <c r="C45" s="18">
        <f>C30</f>
        <v>0.48</v>
      </c>
      <c r="E45" s="19"/>
    </row>
    <row r="46" ht="15.75" customHeight="1">
      <c r="A46" s="12"/>
      <c r="B46" s="5" t="s">
        <v>46</v>
      </c>
      <c r="C46" s="18">
        <f>C38</f>
        <v>0.52</v>
      </c>
      <c r="E46" s="19"/>
    </row>
    <row r="47" ht="15.75" customHeight="1"/>
    <row r="48" ht="15.75" customHeight="1">
      <c r="B48" s="3"/>
      <c r="E48" s="3"/>
    </row>
    <row r="49" ht="15.75" customHeight="1">
      <c r="A49" s="20"/>
      <c r="E49" s="3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B50" s="3"/>
      <c r="E5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9:B49"/>
  </mergeCells>
  <printOptions/>
  <pageMargins bottom="1.0" footer="0.0" header="0.0" left="0.75" right="0.75" top="1.0"/>
  <pageSetup paperSize="9" orientation="portrait"/>
  <drawing r:id="rId1"/>
</worksheet>
</file>